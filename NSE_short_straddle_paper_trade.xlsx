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%"/>
    <numFmt numFmtId="166" formatCode="yyyy-mm-dd h:mm:ss"/>
    <numFmt numFmtId="167" formatCode="dd-mmm-yyyy"/>
    <numFmt numFmtId="168" formatCode="#,##0;(#,##0);-"/>
    <numFmt numFmtId="169" formatCode="₹#,##0.00;(₹#,##0.00);-"/>
    <numFmt numFmtId="170" formatCode="₹#,##0;(₹#,##0);-"/>
    <numFmt numFmtId="171" formatCode="0.00%;(0.00%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F7A1F"/>
      <sz val="18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170" fontId="8" fillId="0" borderId="0" pivotButton="0" quotePrefix="0" xfId="0"/>
    <xf numFmtId="170" fontId="6" fillId="0" borderId="0" pivotButton="0" quotePrefix="0" xfId="0"/>
    <xf numFmtId="171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8" fontId="4" fillId="0" borderId="1" pivotButton="0" quotePrefix="0" xfId="0"/>
    <xf numFmtId="0" fontId="6" fillId="6" borderId="1" pivotButton="0" quotePrefix="0" xfId="0"/>
    <xf numFmtId="168" fontId="4" fillId="6" borderId="1" pivotButton="0" quotePrefix="0" xfId="0"/>
    <xf numFmtId="171" fontId="4" fillId="6" borderId="1" pivotButton="0" quotePrefix="0" xfId="0"/>
    <xf numFmtId="170" fontId="4" fillId="0" borderId="1" pivotButton="0" quotePrefix="0" xfId="0"/>
    <xf numFmtId="170" fontId="4" fillId="6" borderId="1" pivotButton="0" quotePrefix="0" xfId="0"/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4" fillId="0" borderId="1" pivotButton="0" quotePrefix="0" xfId="0"/>
    <xf numFmtId="164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pivotButton="0" quotePrefix="0" xfId="0"/>
    <xf numFmtId="165" fontId="5" fillId="2" borderId="1" pivotButton="0" quotePrefix="0" xfId="0"/>
    <xf numFmtId="167" fontId="4" fillId="0" borderId="1" pivotButton="0" quotePrefix="0" xfId="0"/>
    <xf numFmtId="168" fontId="5" fillId="0" borderId="1" pivotButton="0" quotePrefix="0" xfId="0"/>
    <xf numFmtId="4" fontId="5" fillId="0" borderId="1" pivotButton="0" quotePrefix="0" xfId="0"/>
    <xf numFmtId="169" fontId="5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170" fontId="7" fillId="0" borderId="1" pivotButton="0" quotePrefix="0" xfId="0"/>
    <xf numFmtId="170" fontId="4" fillId="4" borderId="1" pivotButton="0" quotePrefix="0" xfId="0"/>
    <xf numFmtId="171" fontId="4" fillId="0" borderId="1" pivotButton="0" quotePrefix="0" xfId="0"/>
    <xf numFmtId="170" fontId="4" fillId="5" borderId="1" pivotButton="0" quotePrefix="0" xfId="0"/>
    <xf numFmtId="170" fontId="6" fillId="0" borderId="1" pivotButton="0" quotePrefix="0" xfId="0"/>
    <xf numFmtId="168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NSE Short ATM Straddle — Paper Trade</t>
        </is>
      </c>
    </row>
    <row r="2">
      <c r="A2" s="2" t="inlineStr">
        <is>
          <t>Week 1 (16-22 Sep) · NIFTY · intraday (sell at open, cover at close) · real NSE F&amp;O exchange prices</t>
        </is>
      </c>
    </row>
    <row r="4" ht="26" customHeight="1">
      <c r="A4" s="3" t="inlineStr">
        <is>
          <t>NET PROFIT</t>
        </is>
      </c>
      <c r="B4" s="4">
        <f>SUM('Trade Log'!$O$5:$O$14)</f>
        <v/>
      </c>
      <c r="C4" s="2" t="inlineStr">
        <is>
          <t>on peak margin of</t>
        </is>
      </c>
      <c r="D4" s="5">
        <f>MAX(Daily!$D$4:$D$8)</f>
        <v/>
      </c>
      <c r="E4" s="6">
        <f>IFERROR(B4/D4,0)</f>
        <v/>
      </c>
    </row>
    <row r="6" ht="30" customHeight="1">
      <c r="A6" s="7" t="inlineStr">
        <is>
          <t>Metric</t>
        </is>
      </c>
      <c r="B6" s="7" t="inlineStr">
        <is>
          <t>Value</t>
        </is>
      </c>
    </row>
    <row r="7">
      <c r="A7" s="8" t="inlineStr">
        <is>
          <t>Trades</t>
        </is>
      </c>
      <c r="B7" s="9">
        <f>COUNT('Trade Log'!$O$5:$O$14)</f>
        <v/>
      </c>
    </row>
    <row r="8">
      <c r="A8" s="10" t="inlineStr">
        <is>
          <t>Winning trades</t>
        </is>
      </c>
      <c r="B8" s="11">
        <f>COUNTIF('Trade Log'!$O$5:$O$14,"&gt;0")</f>
        <v/>
      </c>
    </row>
    <row r="9">
      <c r="A9" s="8" t="inlineStr">
        <is>
          <t>Losing trades</t>
        </is>
      </c>
      <c r="B9" s="9">
        <f>COUNTIF('Trade Log'!$O$5:$O$14,"&lt;=0")</f>
        <v/>
      </c>
    </row>
    <row r="10">
      <c r="A10" s="10" t="inlineStr">
        <is>
          <t>Win rate</t>
        </is>
      </c>
      <c r="B10" s="12">
        <f>IFERROR(B8/B7,0)</f>
        <v/>
      </c>
    </row>
    <row r="11">
      <c r="A11" s="8" t="inlineStr">
        <is>
          <t>Sessions traded</t>
        </is>
      </c>
      <c r="B11" s="9">
        <f>COUNT(Daily!$C$4:$C$8)</f>
        <v/>
      </c>
    </row>
    <row r="12">
      <c r="A12" s="10" t="inlineStr">
        <is>
          <t>Winning sessions</t>
        </is>
      </c>
      <c r="B12" s="11">
        <f>COUNTIF(Daily!$C$4:$C$8,"&gt;0")</f>
        <v/>
      </c>
    </row>
    <row r="13">
      <c r="A13" s="8" t="inlineStr">
        <is>
          <t>Gross P&amp;L ₹</t>
        </is>
      </c>
      <c r="B13" s="13">
        <f>SUM('Trade Log'!$M$5:$M$14)</f>
        <v/>
      </c>
    </row>
    <row r="14">
      <c r="A14" s="10" t="inlineStr">
        <is>
          <t>Total costs ₹</t>
        </is>
      </c>
      <c r="B14" s="14">
        <f>SUM('Trade Log'!$N$5:$N$14)</f>
        <v/>
      </c>
    </row>
    <row r="15">
      <c r="A15" s="8" t="inlineStr">
        <is>
          <t>NET P&amp;L ₹</t>
        </is>
      </c>
      <c r="B15" s="13">
        <f>SUM('Trade Log'!$O$5:$O$14)</f>
        <v/>
      </c>
    </row>
    <row r="16">
      <c r="A16" s="10" t="inlineStr">
        <is>
          <t>Best trade ₹</t>
        </is>
      </c>
      <c r="B16" s="14">
        <f>MAX('Trade Log'!$O$5:$O$14)</f>
        <v/>
      </c>
    </row>
    <row r="17">
      <c r="A17" s="8" t="inlineStr">
        <is>
          <t>Worst trade ₹</t>
        </is>
      </c>
      <c r="B17" s="13">
        <f>MIN('Trade Log'!$O$5:$O$14)</f>
        <v/>
      </c>
    </row>
    <row r="18">
      <c r="A18" s="10" t="inlineStr">
        <is>
          <t>Average trade ₹</t>
        </is>
      </c>
      <c r="B18" s="14">
        <f>IFERROR(AVERAGE('Trade Log'!$O$5:$O$14),0)</f>
        <v/>
      </c>
    </row>
    <row r="19">
      <c r="A19" s="8" t="inlineStr">
        <is>
          <t>Peak margin ₹</t>
        </is>
      </c>
      <c r="B19" s="13">
        <f>MAX(Daily!$D$4:$D$8)</f>
        <v/>
      </c>
    </row>
    <row r="20">
      <c r="A20" s="10" t="inlineStr">
        <is>
          <t>Return on peak margin</t>
        </is>
      </c>
      <c r="B20" s="12">
        <f>IFERROR(B15/B19,0)</f>
        <v/>
      </c>
    </row>
    <row r="22">
      <c r="A22" s="3" t="inlineStr">
        <is>
          <t>What happened this week</t>
        </is>
      </c>
    </row>
    <row r="23" ht="28" customHeight="1">
      <c r="A23" s="15" t="inlineStr">
        <is>
          <t>• NIFTY barely moved: 23,201.60 to 23,329.00 across the whole week, +0.55%, with a largest single-day move of 0.36%.</t>
        </is>
      </c>
    </row>
    <row r="24" ht="28" customHeight="1">
      <c r="A24" s="15" t="inlineStr">
        <is>
          <t>• A short straddle is a bet on stillness, not a forecast. It collects premium when price sits still, so a near-motionless week is close to its best case.</t>
        </is>
      </c>
    </row>
    <row r="25" ht="28" customHeight="1">
      <c r="A25" s="15" t="inlineStr">
        <is>
          <t>• All five sessions were positive and 7 of the 10 legs made money.</t>
        </is>
      </c>
    </row>
    <row r="26" ht="28" customHeight="1">
      <c r="A26" s="15" t="inlineStr">
        <is>
          <t>• CONTEXT — this is one selected week from an eight-month record. The following week (23-29 Sep) lost ₹39,140 on the same rules when the market fell 2-4%. Over the eight-month backtest the strategy earned ₹45,470 with a maximum drawdown of ₹94,210.</t>
        </is>
      </c>
    </row>
    <row r="28">
      <c r="A28" s="16" t="inlineStr">
        <is>
          <t>NOT INVESTMENT ADVICE. A paper trade on historical exchange data. Real fills, slippage and margin calls will differ from these figures.</t>
        </is>
      </c>
    </row>
  </sheetData>
  <mergeCells count="5">
    <mergeCell ref="A26:E26"/>
    <mergeCell ref="A24:E24"/>
    <mergeCell ref="A28:E28"/>
    <mergeCell ref="A25:E25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74" customWidth="1" min="4" max="4"/>
  </cols>
  <sheetData>
    <row r="1">
      <c r="A1" s="1" t="inlineStr">
        <is>
          <t>Short ATM Straddle — Assumptions &amp; Method</t>
        </is>
      </c>
    </row>
    <row r="2">
      <c r="A2" s="2" t="inlineStr">
        <is>
          <t>Yellow cells drive every figure in this workbook. Change one and the model recalculates.</t>
        </is>
      </c>
    </row>
    <row r="4" ht="30" customHeight="1">
      <c r="A4" s="7" t="inlineStr">
        <is>
          <t>Parameter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Source / note</t>
        </is>
      </c>
    </row>
    <row r="5">
      <c r="A5" s="17" t="inlineStr">
        <is>
          <t>Margin requirement</t>
        </is>
      </c>
      <c r="B5" s="18" t="n">
        <v>0.12</v>
      </c>
      <c r="C5" s="17" t="inlineStr">
        <is>
          <t>of notional</t>
        </is>
      </c>
      <c r="D5" s="19" t="inlineStr">
        <is>
          <t>SPAN + exposure on a short index option, approximate. Broker-specific — confirm with yours.</t>
        </is>
      </c>
    </row>
    <row r="6">
      <c r="A6" s="17" t="inlineStr">
        <is>
          <t>Cost per lot (round trip)</t>
        </is>
      </c>
      <c r="B6" s="20" t="n">
        <v>60</v>
      </c>
      <c r="C6" s="17" t="inlineStr">
        <is>
          <t>₹</t>
        </is>
      </c>
      <c r="D6" s="19" t="inlineStr">
        <is>
          <t>Brokerage + STT + exchange fees + GST + stamp duty, one lot in and out, discount broker.</t>
        </is>
      </c>
    </row>
    <row r="7">
      <c r="A7" s="17" t="inlineStr">
        <is>
          <t>NIFTY lot size</t>
        </is>
      </c>
      <c r="B7" s="20" t="n">
        <v>75</v>
      </c>
      <c r="C7" s="17" t="inlineStr">
        <is>
          <t>units</t>
        </is>
      </c>
      <c r="D7" s="19" t="inlineStr">
        <is>
          <t>NSE contract specification.</t>
        </is>
      </c>
    </row>
    <row r="8">
      <c r="A8" s="17" t="inlineStr">
        <is>
          <t>BANKNIFTY lot size</t>
        </is>
      </c>
      <c r="B8" s="20" t="n">
        <v>35</v>
      </c>
      <c r="C8" s="17" t="inlineStr">
        <is>
          <t>units</t>
        </is>
      </c>
      <c r="D8" s="19" t="inlineStr">
        <is>
          <t>NSE contract specification (no BANKNIFTY trades this week).</t>
        </is>
      </c>
    </row>
    <row r="9">
      <c r="A9" s="17" t="inlineStr">
        <is>
          <t>Max days to expiry</t>
        </is>
      </c>
      <c r="B9" s="20" t="n">
        <v>7</v>
      </c>
      <c r="C9" s="17" t="inlineStr">
        <is>
          <t>days</t>
        </is>
      </c>
      <c r="D9" s="19" t="inlineStr">
        <is>
          <t>Strategy rule — weekly contracts only.</t>
        </is>
      </c>
    </row>
    <row r="10">
      <c r="A10" s="17" t="inlineStr">
        <is>
          <t>ATM band</t>
        </is>
      </c>
      <c r="B10" s="21" t="n">
        <v>0.005</v>
      </c>
      <c r="C10" s="17" t="inlineStr">
        <is>
          <t>of spot</t>
        </is>
      </c>
      <c r="D10" s="19" t="inlineStr">
        <is>
          <t>Strike within ±0.5% of the PRIOR session close.</t>
        </is>
      </c>
    </row>
    <row r="11">
      <c r="A11" s="17" t="inlineStr">
        <is>
          <t>Min prior-session volume</t>
        </is>
      </c>
      <c r="B11" s="20" t="n">
        <v>1000</v>
      </c>
      <c r="C11" s="17" t="inlineStr">
        <is>
          <t>contracts</t>
        </is>
      </c>
      <c r="D11" s="19" t="inlineStr">
        <is>
          <t>Liquidity filter on the PREVIOUS session. Never same-day volume, which is look-ahead.</t>
        </is>
      </c>
    </row>
    <row r="14">
      <c r="A14" s="3" t="inlineStr">
        <is>
          <t>Method</t>
        </is>
      </c>
    </row>
    <row r="15" ht="16" customHeight="1">
      <c r="A15" s="15" t="inlineStr">
        <is>
          <t>• At the open, SELL the at-the-money call and the at-the-money put.</t>
        </is>
      </c>
    </row>
    <row r="16" ht="16" customHeight="1">
      <c r="A16" s="15" t="inlineStr">
        <is>
          <t>• Strike chosen from the PRIOR session close — the only spot a trader knows at the open.</t>
        </is>
      </c>
    </row>
    <row r="17" ht="16" customHeight="1">
      <c r="A17" s="15" t="inlineStr">
        <is>
          <t>• Liquidity filtered on the PRIOR session volume, never the current day's.</t>
        </is>
      </c>
    </row>
    <row r="18" ht="16" customHeight="1">
      <c r="A18" s="15" t="inlineStr">
        <is>
          <t>• Cover both legs at the close. No position held overnight.</t>
        </is>
      </c>
    </row>
    <row r="19" ht="16" customHeight="1">
      <c r="A19" s="15" t="inlineStr">
        <is>
          <t>• Prices are real NSE exchange data (daily F&amp;O bhavcopy), not modelled.</t>
        </is>
      </c>
    </row>
    <row r="21">
      <c r="A21" s="3" t="inlineStr">
        <is>
          <t>Data integrity — three look-ahead leaks were removed before these numbers</t>
        </is>
      </c>
    </row>
    <row r="22" ht="28" customHeight="1">
      <c r="A22" s="15" t="inlineStr">
        <is>
          <t>• Selecting contracts by SAME-DAY volume, which is only known at the close. Worth 25x in P&amp;L.</t>
        </is>
      </c>
    </row>
    <row r="23" ht="28" customHeight="1">
      <c r="A23" s="15" t="inlineStr">
        <is>
          <t>• UndrlygPric in the bhavcopy is the CLOSING spot (verified at 0.0000% difference against the NIFTY close), so choosing 'ATM' with it picks the strike that ENDED at the money — exactly the strike that decayed most that day.</t>
        </is>
      </c>
    </row>
    <row r="24" ht="28" customHeight="1">
      <c r="A24" s="15" t="inlineStr">
        <is>
          <t>• Testing only a calm window. With the leaks present the backtest showed Sharpe 17.51; corrected, it is Sharpe 1.27.</t>
        </is>
      </c>
    </row>
  </sheetData>
  <mergeCells count="8">
    <mergeCell ref="A17:D17"/>
    <mergeCell ref="A18:D18"/>
    <mergeCell ref="A23:D23"/>
    <mergeCell ref="A22:D22"/>
    <mergeCell ref="A15:D15"/>
    <mergeCell ref="A24:D24"/>
    <mergeCell ref="A19:D19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6" customWidth="1" min="3" max="3"/>
    <col width="13" customWidth="1" min="4" max="4"/>
    <col width="6" customWidth="1" min="5" max="5"/>
    <col width="10" customWidth="1" min="6" max="6"/>
    <col width="12" customWidth="1" min="7" max="7"/>
    <col width="13" customWidth="1" min="8" max="8"/>
    <col width="12" customWidth="1" min="9" max="9"/>
    <col width="12" customWidth="1" min="10" max="10"/>
    <col width="10" customWidth="1" min="11" max="11"/>
    <col width="7" customWidth="1" min="12" max="12"/>
    <col width="12" customWidth="1" min="13" max="13"/>
    <col width="10" customWidth="1" min="14" max="14"/>
    <col width="13" customWidth="1" min="15" max="15"/>
    <col width="13" customWidth="1" min="16" max="16"/>
    <col width="12" customWidth="1" min="17" max="17"/>
  </cols>
  <sheetData>
    <row r="1">
      <c r="A1" s="1" t="inlineStr">
        <is>
          <t>Trade Log — Week 1 (16-22 Sep)</t>
        </is>
      </c>
    </row>
    <row r="2">
      <c r="A2" s="2" t="inlineStr">
        <is>
          <t>Real NSE exchange prices. Blue = raw exchange data, black = formula, green = link to Assumptions.</t>
        </is>
      </c>
    </row>
    <row r="4" ht="30" customHeight="1">
      <c r="A4" s="7" t="inlineStr">
        <is>
          <t>Date</t>
        </is>
      </c>
      <c r="B4" s="7" t="inlineStr">
        <is>
          <t>Symbol</t>
        </is>
      </c>
      <c r="C4" s="7" t="inlineStr">
        <is>
          <t>C/P</t>
        </is>
      </c>
      <c r="D4" s="7" t="inlineStr">
        <is>
          <t>Expiry</t>
        </is>
      </c>
      <c r="E4" s="7" t="inlineStr">
        <is>
          <t>DTE</t>
        </is>
      </c>
      <c r="F4" s="7" t="inlineStr">
        <is>
          <t>Strike</t>
        </is>
      </c>
      <c r="G4" s="7" t="inlineStr">
        <is>
          <t>Prior close</t>
        </is>
      </c>
      <c r="H4" s="7" t="inlineStr">
        <is>
          <t>Spot (close)</t>
        </is>
      </c>
      <c r="I4" s="7" t="inlineStr">
        <is>
          <t>Sell @ open</t>
        </is>
      </c>
      <c r="J4" s="7" t="inlineStr">
        <is>
          <t>Buy @ close</t>
        </is>
      </c>
      <c r="K4" s="7" t="inlineStr">
        <is>
          <t>Points</t>
        </is>
      </c>
      <c r="L4" s="7" t="inlineStr">
        <is>
          <t>Lot</t>
        </is>
      </c>
      <c r="M4" s="7" t="inlineStr">
        <is>
          <t>Gross ₹</t>
        </is>
      </c>
      <c r="N4" s="7" t="inlineStr">
        <is>
          <t>Cost ₹</t>
        </is>
      </c>
      <c r="O4" s="7" t="inlineStr">
        <is>
          <t>Net P&amp;L ₹</t>
        </is>
      </c>
      <c r="P4" s="7" t="inlineStr">
        <is>
          <t>Margin ₹</t>
        </is>
      </c>
      <c r="Q4" s="7" t="inlineStr">
        <is>
          <t>% of margin</t>
        </is>
      </c>
    </row>
    <row r="5">
      <c r="A5" s="22" t="n">
        <v>46281</v>
      </c>
      <c r="B5" s="17" t="inlineStr">
        <is>
          <t>NIFTY</t>
        </is>
      </c>
      <c r="C5" s="17" t="inlineStr">
        <is>
          <t>CE</t>
        </is>
      </c>
      <c r="D5" s="22" t="n">
        <v>46287</v>
      </c>
      <c r="E5" s="17" t="n">
        <v>6</v>
      </c>
      <c r="F5" s="23" t="n">
        <v>23100</v>
      </c>
      <c r="G5" s="24" t="n">
        <v>23118.6</v>
      </c>
      <c r="H5" s="24" t="n">
        <v>23217.6</v>
      </c>
      <c r="I5" s="25" t="n">
        <v>246.05</v>
      </c>
      <c r="J5" s="25" t="n">
        <v>242.5</v>
      </c>
      <c r="K5" s="26">
        <f>I5-J5</f>
        <v/>
      </c>
      <c r="L5" s="27" t="n">
        <v>75</v>
      </c>
      <c r="M5" s="13">
        <f>K5*L5</f>
        <v/>
      </c>
      <c r="N5" s="28">
        <f>Assumptions!$B$6</f>
        <v/>
      </c>
      <c r="O5" s="29">
        <f>M5-N5</f>
        <v/>
      </c>
      <c r="P5" s="28">
        <f>G5*L5*Assumptions!$B$5</f>
        <v/>
      </c>
      <c r="Q5" s="30">
        <f>IFERROR(O5/P5,0)</f>
        <v/>
      </c>
    </row>
    <row r="6">
      <c r="A6" s="22" t="n">
        <v>46281</v>
      </c>
      <c r="B6" s="17" t="inlineStr">
        <is>
          <t>NIFTY</t>
        </is>
      </c>
      <c r="C6" s="17" t="inlineStr">
        <is>
          <t>PE</t>
        </is>
      </c>
      <c r="D6" s="22" t="n">
        <v>46287</v>
      </c>
      <c r="E6" s="17" t="n">
        <v>6</v>
      </c>
      <c r="F6" s="23" t="n">
        <v>23100</v>
      </c>
      <c r="G6" s="24" t="n">
        <v>23118.6</v>
      </c>
      <c r="H6" s="24" t="n">
        <v>23217.6</v>
      </c>
      <c r="I6" s="25" t="n">
        <v>120</v>
      </c>
      <c r="J6" s="25" t="n">
        <v>99.15000000000001</v>
      </c>
      <c r="K6" s="26">
        <f>I6-J6</f>
        <v/>
      </c>
      <c r="L6" s="27" t="n">
        <v>75</v>
      </c>
      <c r="M6" s="13">
        <f>K6*L6</f>
        <v/>
      </c>
      <c r="N6" s="28">
        <f>Assumptions!$B$6</f>
        <v/>
      </c>
      <c r="O6" s="29">
        <f>M6-N6</f>
        <v/>
      </c>
      <c r="P6" s="28">
        <f>G6*L6*Assumptions!$B$5</f>
        <v/>
      </c>
      <c r="Q6" s="30">
        <f>IFERROR(O6/P6,0)</f>
        <v/>
      </c>
    </row>
    <row r="7">
      <c r="A7" s="22" t="n">
        <v>46282</v>
      </c>
      <c r="B7" s="17" t="inlineStr">
        <is>
          <t>NIFTY</t>
        </is>
      </c>
      <c r="C7" s="17" t="inlineStr">
        <is>
          <t>CE</t>
        </is>
      </c>
      <c r="D7" s="22" t="n">
        <v>46287</v>
      </c>
      <c r="E7" s="17" t="n">
        <v>5</v>
      </c>
      <c r="F7" s="23" t="n">
        <v>23200</v>
      </c>
      <c r="G7" s="24" t="n">
        <v>23217.6</v>
      </c>
      <c r="H7" s="24" t="n">
        <v>23270.6</v>
      </c>
      <c r="I7" s="25" t="n">
        <v>159</v>
      </c>
      <c r="J7" s="25" t="n">
        <v>183</v>
      </c>
      <c r="K7" s="26">
        <f>I7-J7</f>
        <v/>
      </c>
      <c r="L7" s="27" t="n">
        <v>75</v>
      </c>
      <c r="M7" s="13">
        <f>K7*L7</f>
        <v/>
      </c>
      <c r="N7" s="28">
        <f>Assumptions!$B$6</f>
        <v/>
      </c>
      <c r="O7" s="31">
        <f>M7-N7</f>
        <v/>
      </c>
      <c r="P7" s="28">
        <f>G7*L7*Assumptions!$B$5</f>
        <v/>
      </c>
      <c r="Q7" s="30">
        <f>IFERROR(O7/P7,0)</f>
        <v/>
      </c>
    </row>
    <row r="8">
      <c r="A8" s="22" t="n">
        <v>46282</v>
      </c>
      <c r="B8" s="17" t="inlineStr">
        <is>
          <t>NIFTY</t>
        </is>
      </c>
      <c r="C8" s="17" t="inlineStr">
        <is>
          <t>PE</t>
        </is>
      </c>
      <c r="D8" s="22" t="n">
        <v>46287</v>
      </c>
      <c r="E8" s="17" t="n">
        <v>5</v>
      </c>
      <c r="F8" s="23" t="n">
        <v>23200</v>
      </c>
      <c r="G8" s="24" t="n">
        <v>23217.6</v>
      </c>
      <c r="H8" s="24" t="n">
        <v>23270.6</v>
      </c>
      <c r="I8" s="25" t="n">
        <v>135</v>
      </c>
      <c r="J8" s="25" t="n">
        <v>72.34999999999999</v>
      </c>
      <c r="K8" s="26">
        <f>I8-J8</f>
        <v/>
      </c>
      <c r="L8" s="27" t="n">
        <v>75</v>
      </c>
      <c r="M8" s="13">
        <f>K8*L8</f>
        <v/>
      </c>
      <c r="N8" s="28">
        <f>Assumptions!$B$6</f>
        <v/>
      </c>
      <c r="O8" s="29">
        <f>M8-N8</f>
        <v/>
      </c>
      <c r="P8" s="28">
        <f>G8*L8*Assumptions!$B$5</f>
        <v/>
      </c>
      <c r="Q8" s="30">
        <f>IFERROR(O8/P8,0)</f>
        <v/>
      </c>
    </row>
    <row r="9">
      <c r="A9" s="22" t="n">
        <v>46283</v>
      </c>
      <c r="B9" s="17" t="inlineStr">
        <is>
          <t>NIFTY</t>
        </is>
      </c>
      <c r="C9" s="17" t="inlineStr">
        <is>
          <t>CE</t>
        </is>
      </c>
      <c r="D9" s="22" t="n">
        <v>46287</v>
      </c>
      <c r="E9" s="17" t="n">
        <v>4</v>
      </c>
      <c r="F9" s="23" t="n">
        <v>23250</v>
      </c>
      <c r="G9" s="24" t="n">
        <v>23270.6</v>
      </c>
      <c r="H9" s="24" t="n">
        <v>23346.4</v>
      </c>
      <c r="I9" s="25" t="n">
        <v>165.95</v>
      </c>
      <c r="J9" s="25" t="n">
        <v>154.55</v>
      </c>
      <c r="K9" s="26">
        <f>I9-J9</f>
        <v/>
      </c>
      <c r="L9" s="27" t="n">
        <v>75</v>
      </c>
      <c r="M9" s="13">
        <f>K9*L9</f>
        <v/>
      </c>
      <c r="N9" s="28">
        <f>Assumptions!$B$6</f>
        <v/>
      </c>
      <c r="O9" s="29">
        <f>M9-N9</f>
        <v/>
      </c>
      <c r="P9" s="28">
        <f>G9*L9*Assumptions!$B$5</f>
        <v/>
      </c>
      <c r="Q9" s="30">
        <f>IFERROR(O9/P9,0)</f>
        <v/>
      </c>
    </row>
    <row r="10">
      <c r="A10" s="22" t="n">
        <v>46283</v>
      </c>
      <c r="B10" s="17" t="inlineStr">
        <is>
          <t>NIFTY</t>
        </is>
      </c>
      <c r="C10" s="17" t="inlineStr">
        <is>
          <t>PE</t>
        </is>
      </c>
      <c r="D10" s="22" t="n">
        <v>46287</v>
      </c>
      <c r="E10" s="17" t="n">
        <v>4</v>
      </c>
      <c r="F10" s="23" t="n">
        <v>23250</v>
      </c>
      <c r="G10" s="24" t="n">
        <v>23270.6</v>
      </c>
      <c r="H10" s="24" t="n">
        <v>23346.4</v>
      </c>
      <c r="I10" s="25" t="n">
        <v>77.84999999999999</v>
      </c>
      <c r="J10" s="25" t="n">
        <v>49.4</v>
      </c>
      <c r="K10" s="26">
        <f>I10-J10</f>
        <v/>
      </c>
      <c r="L10" s="27" t="n">
        <v>75</v>
      </c>
      <c r="M10" s="13">
        <f>K10*L10</f>
        <v/>
      </c>
      <c r="N10" s="28">
        <f>Assumptions!$B$6</f>
        <v/>
      </c>
      <c r="O10" s="29">
        <f>M10-N10</f>
        <v/>
      </c>
      <c r="P10" s="28">
        <f>G10*L10*Assumptions!$B$5</f>
        <v/>
      </c>
      <c r="Q10" s="30">
        <f>IFERROR(O10/P10,0)</f>
        <v/>
      </c>
    </row>
    <row r="11">
      <c r="A11" s="22" t="n">
        <v>46286</v>
      </c>
      <c r="B11" s="17" t="inlineStr">
        <is>
          <t>NIFTY</t>
        </is>
      </c>
      <c r="C11" s="17" t="inlineStr">
        <is>
          <t>CE</t>
        </is>
      </c>
      <c r="D11" s="22" t="n">
        <v>46287</v>
      </c>
      <c r="E11" s="17" t="n">
        <v>1</v>
      </c>
      <c r="F11" s="23" t="n">
        <v>23350</v>
      </c>
      <c r="G11" s="24" t="n">
        <v>23346.4</v>
      </c>
      <c r="H11" s="24" t="n">
        <v>23414.3</v>
      </c>
      <c r="I11" s="25" t="n">
        <v>79</v>
      </c>
      <c r="J11" s="25" t="n">
        <v>124.75</v>
      </c>
      <c r="K11" s="26">
        <f>I11-J11</f>
        <v/>
      </c>
      <c r="L11" s="27" t="n">
        <v>75</v>
      </c>
      <c r="M11" s="13">
        <f>K11*L11</f>
        <v/>
      </c>
      <c r="N11" s="28">
        <f>Assumptions!$B$6</f>
        <v/>
      </c>
      <c r="O11" s="31">
        <f>M11-N11</f>
        <v/>
      </c>
      <c r="P11" s="28">
        <f>G11*L11*Assumptions!$B$5</f>
        <v/>
      </c>
      <c r="Q11" s="30">
        <f>IFERROR(O11/P11,0)</f>
        <v/>
      </c>
    </row>
    <row r="12">
      <c r="A12" s="22" t="n">
        <v>46286</v>
      </c>
      <c r="B12" s="17" t="inlineStr">
        <is>
          <t>NIFTY</t>
        </is>
      </c>
      <c r="C12" s="17" t="inlineStr">
        <is>
          <t>PE</t>
        </is>
      </c>
      <c r="D12" s="22" t="n">
        <v>46287</v>
      </c>
      <c r="E12" s="17" t="n">
        <v>1</v>
      </c>
      <c r="F12" s="23" t="n">
        <v>23350</v>
      </c>
      <c r="G12" s="24" t="n">
        <v>23346.4</v>
      </c>
      <c r="H12" s="24" t="n">
        <v>23414.3</v>
      </c>
      <c r="I12" s="25" t="n">
        <v>89</v>
      </c>
      <c r="J12" s="25" t="n">
        <v>32.2</v>
      </c>
      <c r="K12" s="26">
        <f>I12-J12</f>
        <v/>
      </c>
      <c r="L12" s="27" t="n">
        <v>75</v>
      </c>
      <c r="M12" s="13">
        <f>K12*L12</f>
        <v/>
      </c>
      <c r="N12" s="28">
        <f>Assumptions!$B$6</f>
        <v/>
      </c>
      <c r="O12" s="29">
        <f>M12-N12</f>
        <v/>
      </c>
      <c r="P12" s="28">
        <f>G12*L12*Assumptions!$B$5</f>
        <v/>
      </c>
      <c r="Q12" s="30">
        <f>IFERROR(O12/P12,0)</f>
        <v/>
      </c>
    </row>
    <row r="13">
      <c r="A13" s="22" t="n">
        <v>46287</v>
      </c>
      <c r="B13" s="17" t="inlineStr">
        <is>
          <t>NIFTY</t>
        </is>
      </c>
      <c r="C13" s="17" t="inlineStr">
        <is>
          <t>CE</t>
        </is>
      </c>
      <c r="D13" s="22" t="n">
        <v>46287</v>
      </c>
      <c r="E13" s="17" t="n">
        <v>0</v>
      </c>
      <c r="F13" s="23" t="n">
        <v>23400</v>
      </c>
      <c r="G13" s="24" t="n">
        <v>23414.3</v>
      </c>
      <c r="H13" s="24" t="n">
        <v>23329</v>
      </c>
      <c r="I13" s="25" t="n">
        <v>84.75</v>
      </c>
      <c r="J13" s="25" t="n">
        <v>6.75</v>
      </c>
      <c r="K13" s="26">
        <f>I13-J13</f>
        <v/>
      </c>
      <c r="L13" s="27" t="n">
        <v>75</v>
      </c>
      <c r="M13" s="13">
        <f>K13*L13</f>
        <v/>
      </c>
      <c r="N13" s="28">
        <f>Assumptions!$B$6</f>
        <v/>
      </c>
      <c r="O13" s="29">
        <f>M13-N13</f>
        <v/>
      </c>
      <c r="P13" s="28">
        <f>G13*L13*Assumptions!$B$5</f>
        <v/>
      </c>
      <c r="Q13" s="30">
        <f>IFERROR(O13/P13,0)</f>
        <v/>
      </c>
    </row>
    <row r="14">
      <c r="A14" s="22" t="n">
        <v>46287</v>
      </c>
      <c r="B14" s="17" t="inlineStr">
        <is>
          <t>NIFTY</t>
        </is>
      </c>
      <c r="C14" s="17" t="inlineStr">
        <is>
          <t>PE</t>
        </is>
      </c>
      <c r="D14" s="22" t="n">
        <v>46287</v>
      </c>
      <c r="E14" s="17" t="n">
        <v>0</v>
      </c>
      <c r="F14" s="23" t="n">
        <v>23400</v>
      </c>
      <c r="G14" s="24" t="n">
        <v>23414.3</v>
      </c>
      <c r="H14" s="24" t="n">
        <v>23329</v>
      </c>
      <c r="I14" s="25" t="n">
        <v>27</v>
      </c>
      <c r="J14" s="25" t="n">
        <v>62.7</v>
      </c>
      <c r="K14" s="26">
        <f>I14-J14</f>
        <v/>
      </c>
      <c r="L14" s="27" t="n">
        <v>75</v>
      </c>
      <c r="M14" s="13">
        <f>K14*L14</f>
        <v/>
      </c>
      <c r="N14" s="28">
        <f>Assumptions!$B$6</f>
        <v/>
      </c>
      <c r="O14" s="31">
        <f>M14-N14</f>
        <v/>
      </c>
      <c r="P14" s="28">
        <f>G14*L14*Assumptions!$B$5</f>
        <v/>
      </c>
      <c r="Q14" s="30">
        <f>IFERROR(O14/P14,0)</f>
        <v/>
      </c>
    </row>
    <row r="15">
      <c r="A15" s="8" t="inlineStr">
        <is>
          <t>TOTAL</t>
        </is>
      </c>
      <c r="M15" s="32">
        <f>SUM(M5:M14)</f>
        <v/>
      </c>
      <c r="N15" s="32">
        <f>SUM(N5:N14)</f>
        <v/>
      </c>
      <c r="O15" s="32">
        <f>SUM(O5:O14)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3" customWidth="1" min="5" max="5"/>
    <col width="15" customWidth="1" min="6" max="6"/>
  </cols>
  <sheetData>
    <row r="1">
      <c r="A1" s="1" t="inlineStr">
        <is>
          <t>Daily Summary — Week 1 (16-22 Sep)</t>
        </is>
      </c>
    </row>
    <row r="3" ht="30" customHeight="1">
      <c r="A3" s="7" t="inlineStr">
        <is>
          <t>Date</t>
        </is>
      </c>
      <c r="B3" s="7" t="inlineStr">
        <is>
          <t>Positions</t>
        </is>
      </c>
      <c r="C3" s="7" t="inlineStr">
        <is>
          <t>Net P&amp;L ₹</t>
        </is>
      </c>
      <c r="D3" s="7" t="inlineStr">
        <is>
          <t>Margin ₹</t>
        </is>
      </c>
      <c r="E3" s="7" t="inlineStr">
        <is>
          <t>% of margin</t>
        </is>
      </c>
      <c r="F3" s="7" t="inlineStr">
        <is>
          <t>Cumulative ₹</t>
        </is>
      </c>
    </row>
    <row r="4">
      <c r="A4" s="22" t="n">
        <v>46281</v>
      </c>
      <c r="B4" s="9">
        <f>COUNTIF('Trade Log'!$A$5:$A$14,$A4)</f>
        <v/>
      </c>
      <c r="C4" s="13">
        <f>SUMIF('Trade Log'!$A$5:$A$14,$A4,'Trade Log'!$O$5:$O$14)</f>
        <v/>
      </c>
      <c r="D4" s="13">
        <f>SUMIF('Trade Log'!$A$5:$A$14,$A4,'Trade Log'!$P$5:$P$14)</f>
        <v/>
      </c>
      <c r="E4" s="30">
        <f>IFERROR(C4/D4,0)</f>
        <v/>
      </c>
      <c r="F4" s="13">
        <f>SUM($C$4:C4)</f>
        <v/>
      </c>
    </row>
    <row r="5">
      <c r="A5" s="22" t="n">
        <v>46282</v>
      </c>
      <c r="B5" s="9">
        <f>COUNTIF('Trade Log'!$A$5:$A$14,$A5)</f>
        <v/>
      </c>
      <c r="C5" s="13">
        <f>SUMIF('Trade Log'!$A$5:$A$14,$A5,'Trade Log'!$O$5:$O$14)</f>
        <v/>
      </c>
      <c r="D5" s="13">
        <f>SUMIF('Trade Log'!$A$5:$A$14,$A5,'Trade Log'!$P$5:$P$14)</f>
        <v/>
      </c>
      <c r="E5" s="30">
        <f>IFERROR(C5/D5,0)</f>
        <v/>
      </c>
      <c r="F5" s="13">
        <f>SUM($C$4:C5)</f>
        <v/>
      </c>
    </row>
    <row r="6">
      <c r="A6" s="22" t="n">
        <v>46283</v>
      </c>
      <c r="B6" s="9">
        <f>COUNTIF('Trade Log'!$A$5:$A$14,$A6)</f>
        <v/>
      </c>
      <c r="C6" s="13">
        <f>SUMIF('Trade Log'!$A$5:$A$14,$A6,'Trade Log'!$O$5:$O$14)</f>
        <v/>
      </c>
      <c r="D6" s="13">
        <f>SUMIF('Trade Log'!$A$5:$A$14,$A6,'Trade Log'!$P$5:$P$14)</f>
        <v/>
      </c>
      <c r="E6" s="30">
        <f>IFERROR(C6/D6,0)</f>
        <v/>
      </c>
      <c r="F6" s="13">
        <f>SUM($C$4:C6)</f>
        <v/>
      </c>
    </row>
    <row r="7">
      <c r="A7" s="22" t="n">
        <v>46286</v>
      </c>
      <c r="B7" s="9">
        <f>COUNTIF('Trade Log'!$A$5:$A$14,$A7)</f>
        <v/>
      </c>
      <c r="C7" s="13">
        <f>SUMIF('Trade Log'!$A$5:$A$14,$A7,'Trade Log'!$O$5:$O$14)</f>
        <v/>
      </c>
      <c r="D7" s="13">
        <f>SUMIF('Trade Log'!$A$5:$A$14,$A7,'Trade Log'!$P$5:$P$14)</f>
        <v/>
      </c>
      <c r="E7" s="30">
        <f>IFERROR(C7/D7,0)</f>
        <v/>
      </c>
      <c r="F7" s="13">
        <f>SUM($C$4:C7)</f>
        <v/>
      </c>
    </row>
    <row r="8">
      <c r="A8" s="22" t="n">
        <v>46287</v>
      </c>
      <c r="B8" s="9">
        <f>COUNTIF('Trade Log'!$A$5:$A$14,$A8)</f>
        <v/>
      </c>
      <c r="C8" s="13">
        <f>SUMIF('Trade Log'!$A$5:$A$14,$A8,'Trade Log'!$O$5:$O$14)</f>
        <v/>
      </c>
      <c r="D8" s="13">
        <f>SUMIF('Trade Log'!$A$5:$A$14,$A8,'Trade Log'!$P$5:$P$14)</f>
        <v/>
      </c>
      <c r="E8" s="30">
        <f>IFERROR(C8/D8,0)</f>
        <v/>
      </c>
      <c r="F8" s="13">
        <f>SUM($C$4:C8)</f>
        <v/>
      </c>
    </row>
    <row r="9">
      <c r="A9" s="8" t="inlineStr">
        <is>
          <t>TOTAL</t>
        </is>
      </c>
      <c r="B9" s="33">
        <f>SUM(B4:B8)</f>
        <v/>
      </c>
      <c r="C9" s="32">
        <f>SUM(C4:C8)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2026-09-30T06:32:24Z</dcterms:created>
  <dcterms:modified xmlns:dcterms="http://purl.org/dc/terms/" xmlns:xsi="http://www.w3.org/2001/XMLSchema-instance" xsi:type="dcterms:W3CDTF">2026-09-30T06:32:24Z</dcterms:modified>
</cp:coreProperties>
</file>